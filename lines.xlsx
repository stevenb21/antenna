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seigel\Downloads\"/>
    </mc:Choice>
  </mc:AlternateContent>
  <xr:revisionPtr revIDLastSave="0" documentId="13_ncr:40009_{0BA790E0-DEE6-420D-B1E5-2324BCD92639}" xr6:coauthVersionLast="36" xr6:coauthVersionMax="36" xr10:uidLastSave="{00000000-0000-0000-0000-000000000000}"/>
  <bookViews>
    <workbookView xWindow="0" yWindow="0" windowWidth="28800" windowHeight="14025"/>
  </bookViews>
  <sheets>
    <sheet name="lines" sheetId="1" r:id="rId1"/>
  </sheets>
  <calcPr calcId="0"/>
</workbook>
</file>

<file path=xl/calcChain.xml><?xml version="1.0" encoding="utf-8"?>
<calcChain xmlns="http://schemas.openxmlformats.org/spreadsheetml/2006/main">
  <c r="D12" i="1" l="1"/>
  <c r="D17" i="1"/>
  <c r="D6" i="1"/>
  <c r="D2" i="1"/>
  <c r="D3" i="1"/>
  <c r="D13" i="1"/>
  <c r="D14" i="1"/>
  <c r="D4" i="1"/>
  <c r="D5" i="1"/>
  <c r="D7" i="1"/>
  <c r="D33" i="1"/>
  <c r="D31" i="1"/>
  <c r="D32" i="1"/>
  <c r="D30" i="1"/>
  <c r="D28" i="1"/>
  <c r="D29" i="1"/>
  <c r="D26" i="1"/>
  <c r="D27" i="1"/>
  <c r="D24" i="1"/>
  <c r="D25" i="1"/>
  <c r="D21" i="1"/>
  <c r="D22" i="1"/>
  <c r="D23" i="1"/>
  <c r="D19" i="1"/>
  <c r="D20" i="1"/>
  <c r="D18" i="1"/>
  <c r="D15" i="1"/>
  <c r="D10" i="1"/>
  <c r="D8" i="1"/>
  <c r="D9" i="1"/>
  <c r="D16" i="1"/>
  <c r="D11" i="1"/>
</calcChain>
</file>

<file path=xl/sharedStrings.xml><?xml version="1.0" encoding="utf-8"?>
<sst xmlns="http://schemas.openxmlformats.org/spreadsheetml/2006/main" count="38" uniqueCount="38">
  <si>
    <t>Product</t>
  </si>
  <si>
    <t>Intercept</t>
  </si>
  <si>
    <t>HCA118-50JB</t>
  </si>
  <si>
    <t>HCA118-50J</t>
  </si>
  <si>
    <t>HCA214-50JPL</t>
  </si>
  <si>
    <t>HCA12-50JPL</t>
  </si>
  <si>
    <t>HCA38-50J</t>
  </si>
  <si>
    <t>HCA38-50JT</t>
  </si>
  <si>
    <t>HCA118-50JT</t>
  </si>
  <si>
    <t>HCA158-50J-</t>
  </si>
  <si>
    <t>HCA58-50J-</t>
  </si>
  <si>
    <t>HCA58-50JB</t>
  </si>
  <si>
    <t>HCA78-50J</t>
  </si>
  <si>
    <t>HCA900-50T</t>
  </si>
  <si>
    <t>HCA800-50JB</t>
  </si>
  <si>
    <t>HCA800-50J</t>
  </si>
  <si>
    <t>HCA618-50JT</t>
  </si>
  <si>
    <t>HCA618-50J</t>
  </si>
  <si>
    <t>HCA550-50JT</t>
  </si>
  <si>
    <t>HCA550-50JFN</t>
  </si>
  <si>
    <t>HCA550-50J</t>
  </si>
  <si>
    <t>HCA495-50JFN</t>
  </si>
  <si>
    <t>HCA495-50J</t>
  </si>
  <si>
    <t>HCA400-50JFN</t>
  </si>
  <si>
    <t>HCA400-50JB</t>
  </si>
  <si>
    <t>HCA400-50J</t>
  </si>
  <si>
    <t>HCA300-50JFN</t>
  </si>
  <si>
    <t>HCA300-50J</t>
  </si>
  <si>
    <t>HCA214-50J</t>
  </si>
  <si>
    <t>HCA158-50JB</t>
  </si>
  <si>
    <t>HCA78-50JT</t>
  </si>
  <si>
    <t>HCA78-50JPL</t>
  </si>
  <si>
    <t>HCA78-50JB</t>
  </si>
  <si>
    <t>HCA158-50JPL</t>
  </si>
  <si>
    <t>EstimatedPower</t>
  </si>
  <si>
    <t>Input_Power_kW</t>
  </si>
  <si>
    <t>Input_Frequency_MHz</t>
  </si>
  <si>
    <t>FreqSlope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</si>
</sst>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3"/>
  <sheetViews>
    <sheetView tabSelected="1" workbookViewId="0">
      <selection activeCell="E9" sqref="E9:E14"/>
    </sheetView>
  </sheetViews>
  <sheetFormatPr defaultRowHeight="15" x14ac:dyDescent="0.25"/>
  <cols>
    <col min="1" max="1" width="19" customWidth="1"/>
    <col min="2" max="2" width="14" customWidth="1"/>
    <col min="3" max="3" width="14.140625" customWidth="1"/>
  </cols>
  <sheetData>
    <row r="1" spans="1:8" x14ac:dyDescent="0.25">
      <c r="A1" t="s">
        <v>0</v>
      </c>
      <c r="B1" t="s">
        <v>1</v>
      </c>
      <c r="C1" t="s">
        <v>37</v>
      </c>
      <c r="D1" t="s">
        <v>34</v>
      </c>
    </row>
    <row r="2" spans="1:8" x14ac:dyDescent="0.25">
      <c r="A2" t="s">
        <v>6</v>
      </c>
      <c r="B2">
        <v>2.9780053222679501</v>
      </c>
      <c r="C2">
        <v>-0.46533082617286797</v>
      </c>
      <c r="D2">
        <f>ABS($G$5-EXP(LN($G$3)*C2+B2))</f>
        <v>1.7913536142162805</v>
      </c>
      <c r="G2" s="2" t="s">
        <v>36</v>
      </c>
      <c r="H2" s="1"/>
    </row>
    <row r="3" spans="1:8" x14ac:dyDescent="0.25">
      <c r="A3" t="s">
        <v>7</v>
      </c>
      <c r="B3">
        <v>3.0956706431428298</v>
      </c>
      <c r="C3">
        <v>-0.423331123728026</v>
      </c>
      <c r="D3">
        <f>ABS($G$5-EXP(LN($G$3)*C3+B3))</f>
        <v>3.6824488600479182</v>
      </c>
      <c r="G3">
        <v>5</v>
      </c>
    </row>
    <row r="4" spans="1:8" x14ac:dyDescent="0.25">
      <c r="A4" t="s">
        <v>10</v>
      </c>
      <c r="B4">
        <v>3.6191408926525699</v>
      </c>
      <c r="C4">
        <v>-0.46458509007510101</v>
      </c>
      <c r="D4">
        <f>ABS($G$5-EXP(LN($G$3)*C4+B4))</f>
        <v>10.162081176283625</v>
      </c>
      <c r="G4" s="2" t="s">
        <v>35</v>
      </c>
      <c r="H4" s="2"/>
    </row>
    <row r="5" spans="1:8" x14ac:dyDescent="0.25">
      <c r="A5" t="s">
        <v>11</v>
      </c>
      <c r="B5">
        <v>3.6191408926525699</v>
      </c>
      <c r="C5">
        <v>-0.46458509007510101</v>
      </c>
      <c r="D5">
        <f>ABS($G$5-EXP(LN($G$3)*C5+B5))</f>
        <v>10.162081176283625</v>
      </c>
      <c r="G5">
        <v>7.5</v>
      </c>
    </row>
    <row r="6" spans="1:8" x14ac:dyDescent="0.25">
      <c r="A6" t="s">
        <v>5</v>
      </c>
      <c r="B6">
        <v>3.50853967491215</v>
      </c>
      <c r="C6">
        <v>-0.39485613918259699</v>
      </c>
      <c r="D6">
        <f>ABS($G$5-EXP(LN($G$3)*C6+B6))</f>
        <v>10.190773536620558</v>
      </c>
    </row>
    <row r="7" spans="1:8" x14ac:dyDescent="0.25">
      <c r="A7" t="s">
        <v>12</v>
      </c>
      <c r="B7">
        <v>4.3432914198697796</v>
      </c>
      <c r="C7">
        <v>-0.488674293145408</v>
      </c>
      <c r="D7">
        <f>ABS($G$5-EXP(LN($G$3)*C7+B7))</f>
        <v>27.550871780365831</v>
      </c>
    </row>
    <row r="8" spans="1:8" x14ac:dyDescent="0.25">
      <c r="A8" t="s">
        <v>31</v>
      </c>
      <c r="B8">
        <v>4.3432914198697796</v>
      </c>
      <c r="C8">
        <v>-0.488674293145408</v>
      </c>
      <c r="D8">
        <f>ABS($G$5-EXP(LN($G$3)*C8+B8))</f>
        <v>27.550871780365831</v>
      </c>
    </row>
    <row r="9" spans="1:8" x14ac:dyDescent="0.25">
      <c r="A9" t="s">
        <v>32</v>
      </c>
      <c r="B9">
        <v>4.3432914198697796</v>
      </c>
      <c r="C9">
        <v>-0.488674293145408</v>
      </c>
      <c r="D9">
        <f>ABS($G$5-EXP(LN($G$3)*C9+B9))</f>
        <v>27.550871780365831</v>
      </c>
    </row>
    <row r="10" spans="1:8" x14ac:dyDescent="0.25">
      <c r="A10" t="s">
        <v>30</v>
      </c>
      <c r="B10">
        <v>4.4918293723423899</v>
      </c>
      <c r="C10">
        <v>-0.45807615710789801</v>
      </c>
      <c r="D10">
        <f>ABS($G$5-EXP(LN($G$3)*C10+B10))</f>
        <v>35.216456252097565</v>
      </c>
    </row>
    <row r="11" spans="1:8" x14ac:dyDescent="0.25">
      <c r="A11" t="s">
        <v>2</v>
      </c>
      <c r="B11">
        <v>4.7825997776189197</v>
      </c>
      <c r="C11">
        <v>-0.50056084426653802</v>
      </c>
      <c r="D11">
        <f>ABS($G$5-EXP(LN($G$3)*C11+B11))</f>
        <v>45.855559339819742</v>
      </c>
    </row>
    <row r="12" spans="1:8" x14ac:dyDescent="0.25">
      <c r="A12" t="s">
        <v>3</v>
      </c>
      <c r="B12">
        <v>4.7825997776189197</v>
      </c>
      <c r="C12">
        <v>-0.50056084426653802</v>
      </c>
      <c r="D12">
        <f>ABS($G$5-EXP(LN($G$3)*C12+B12))</f>
        <v>45.855559339819742</v>
      </c>
    </row>
    <row r="13" spans="1:8" x14ac:dyDescent="0.25">
      <c r="A13" t="s">
        <v>8</v>
      </c>
      <c r="B13">
        <v>5.0329024905223898</v>
      </c>
      <c r="C13">
        <v>-0.48909737393156999</v>
      </c>
      <c r="D13">
        <f>ABS($G$5-EXP(LN($G$3)*C13+B13))</f>
        <v>62.306744700354869</v>
      </c>
    </row>
    <row r="14" spans="1:8" x14ac:dyDescent="0.25">
      <c r="A14" t="s">
        <v>9</v>
      </c>
      <c r="B14">
        <v>5.2837816214838398</v>
      </c>
      <c r="C14">
        <v>-0.50849745188116402</v>
      </c>
      <c r="D14">
        <f>ABS($G$5-EXP(LN($G$3)*C14+B14))</f>
        <v>79.454634841100983</v>
      </c>
    </row>
    <row r="15" spans="1:8" x14ac:dyDescent="0.25">
      <c r="A15" t="s">
        <v>29</v>
      </c>
      <c r="B15">
        <v>5.2837816214838398</v>
      </c>
      <c r="C15">
        <v>-0.50849745188116402</v>
      </c>
      <c r="D15">
        <f>ABS($G$5-EXP(LN($G$3)*C15+B15))</f>
        <v>79.454634841100983</v>
      </c>
    </row>
    <row r="16" spans="1:8" x14ac:dyDescent="0.25">
      <c r="A16" t="s">
        <v>33</v>
      </c>
      <c r="B16">
        <v>5.3004057899624399</v>
      </c>
      <c r="C16">
        <v>-0.51046549646357997</v>
      </c>
      <c r="D16">
        <f>ABS($G$5-EXP(LN($G$3)*C16+B16))</f>
        <v>80.63266772251076</v>
      </c>
    </row>
    <row r="17" spans="1:4" x14ac:dyDescent="0.25">
      <c r="A17" t="s">
        <v>4</v>
      </c>
      <c r="B17">
        <v>5.5146083683285596</v>
      </c>
      <c r="C17">
        <v>-0.52342690093182398</v>
      </c>
      <c r="D17">
        <f>ABS($G$5-EXP(LN($G$3)*C17+B17))</f>
        <v>99.431160711392721</v>
      </c>
    </row>
    <row r="18" spans="1:4" x14ac:dyDescent="0.25">
      <c r="A18" t="s">
        <v>28</v>
      </c>
      <c r="B18">
        <v>5.5146083683285596</v>
      </c>
      <c r="C18">
        <v>-0.52342690093182398</v>
      </c>
      <c r="D18">
        <f>ABS($G$5-EXP(LN($G$3)*C18+B18))</f>
        <v>99.431160711392721</v>
      </c>
    </row>
    <row r="19" spans="1:4" x14ac:dyDescent="0.25">
      <c r="A19" t="s">
        <v>26</v>
      </c>
      <c r="B19">
        <v>6.0726141865919301</v>
      </c>
      <c r="C19">
        <v>-0.52432377709409494</v>
      </c>
      <c r="D19">
        <f>ABS($G$5-EXP(LN($G$3)*C19+B19))</f>
        <v>179.05901462699444</v>
      </c>
    </row>
    <row r="20" spans="1:4" x14ac:dyDescent="0.25">
      <c r="A20" t="s">
        <v>27</v>
      </c>
      <c r="B20">
        <v>6.0726141865919301</v>
      </c>
      <c r="C20">
        <v>-0.52432377709409494</v>
      </c>
      <c r="D20">
        <f>ABS($G$5-EXP(LN($G$3)*C20+B20))</f>
        <v>179.05901462699444</v>
      </c>
    </row>
    <row r="21" spans="1:4" x14ac:dyDescent="0.25">
      <c r="A21" t="s">
        <v>23</v>
      </c>
      <c r="B21">
        <v>6.3284058547451503</v>
      </c>
      <c r="C21">
        <v>-0.50718778645512896</v>
      </c>
      <c r="D21">
        <f>ABS($G$5-EXP(LN($G$3)*C21+B21))</f>
        <v>240.17529712142181</v>
      </c>
    </row>
    <row r="22" spans="1:4" x14ac:dyDescent="0.25">
      <c r="A22" t="s">
        <v>24</v>
      </c>
      <c r="B22">
        <v>6.3284058547451503</v>
      </c>
      <c r="C22">
        <v>-0.50718778645512896</v>
      </c>
      <c r="D22">
        <f>ABS($G$5-EXP(LN($G$3)*C22+B22))</f>
        <v>240.17529712142181</v>
      </c>
    </row>
    <row r="23" spans="1:4" x14ac:dyDescent="0.25">
      <c r="A23" t="s">
        <v>25</v>
      </c>
      <c r="B23">
        <v>6.3284058547451503</v>
      </c>
      <c r="C23">
        <v>-0.50718778645512896</v>
      </c>
      <c r="D23">
        <f>ABS($G$5-EXP(LN($G$3)*C23+B23))</f>
        <v>240.17529712142181</v>
      </c>
    </row>
    <row r="24" spans="1:4" x14ac:dyDescent="0.25">
      <c r="A24" t="s">
        <v>21</v>
      </c>
      <c r="B24">
        <v>6.7483845798608098</v>
      </c>
      <c r="C24">
        <v>-0.50768521174787595</v>
      </c>
      <c r="D24">
        <f>ABS($G$5-EXP(LN($G$3)*C24+B24))</f>
        <v>369.14260952904777</v>
      </c>
    </row>
    <row r="25" spans="1:4" x14ac:dyDescent="0.25">
      <c r="A25" t="s">
        <v>22</v>
      </c>
      <c r="B25">
        <v>6.7483845798608098</v>
      </c>
      <c r="C25">
        <v>-0.50768521174787595</v>
      </c>
      <c r="D25">
        <f>ABS($G$5-EXP(LN($G$3)*C25+B25))</f>
        <v>369.14260952904777</v>
      </c>
    </row>
    <row r="26" spans="1:4" x14ac:dyDescent="0.25">
      <c r="A26" t="s">
        <v>19</v>
      </c>
      <c r="B26">
        <v>7.1959038332940901</v>
      </c>
      <c r="C26">
        <v>-0.50641546275054605</v>
      </c>
      <c r="D26">
        <f>ABS($G$5-EXP(LN($G$3)*C26+B26))</f>
        <v>582.9350205049343</v>
      </c>
    </row>
    <row r="27" spans="1:4" x14ac:dyDescent="0.25">
      <c r="A27" t="s">
        <v>20</v>
      </c>
      <c r="B27">
        <v>7.1959038332940901</v>
      </c>
      <c r="C27">
        <v>-0.50641546275054605</v>
      </c>
      <c r="D27">
        <f>ABS($G$5-EXP(LN($G$3)*C27+B27))</f>
        <v>582.9350205049343</v>
      </c>
    </row>
    <row r="28" spans="1:4" x14ac:dyDescent="0.25">
      <c r="A28" t="s">
        <v>17</v>
      </c>
      <c r="B28">
        <v>7.4831638743714901</v>
      </c>
      <c r="C28">
        <v>-0.50930390141496795</v>
      </c>
      <c r="D28">
        <f>ABS($G$5-EXP(LN($G$3)*C28+B28))</f>
        <v>775.76483227259871</v>
      </c>
    </row>
    <row r="29" spans="1:4" x14ac:dyDescent="0.25">
      <c r="A29" t="s">
        <v>18</v>
      </c>
      <c r="B29">
        <v>7.5581498069306701</v>
      </c>
      <c r="C29">
        <v>-0.50779990456875501</v>
      </c>
      <c r="D29">
        <f>ABS($G$5-EXP(LN($G$3)*C29+B29))</f>
        <v>838.80294674661036</v>
      </c>
    </row>
    <row r="30" spans="1:4" x14ac:dyDescent="0.25">
      <c r="A30" t="s">
        <v>16</v>
      </c>
      <c r="B30">
        <v>7.8255984693603899</v>
      </c>
      <c r="C30">
        <v>-0.51476240031147902</v>
      </c>
      <c r="D30">
        <f>ABS($G$5-EXP(LN($G$3)*C30+B30))</f>
        <v>1085.9797773114965</v>
      </c>
    </row>
    <row r="31" spans="1:4" x14ac:dyDescent="0.25">
      <c r="A31" t="s">
        <v>14</v>
      </c>
      <c r="B31">
        <v>7.9723046959934196</v>
      </c>
      <c r="C31">
        <v>-0.50924178334195402</v>
      </c>
      <c r="D31">
        <f>ABS($G$5-EXP(LN($G$3)*C31+B31))</f>
        <v>1270.0655900788165</v>
      </c>
    </row>
    <row r="32" spans="1:4" x14ac:dyDescent="0.25">
      <c r="A32" t="s">
        <v>15</v>
      </c>
      <c r="B32">
        <v>7.9723046959934196</v>
      </c>
      <c r="C32">
        <v>-0.50924178334195402</v>
      </c>
      <c r="D32">
        <f>ABS($G$5-EXP(LN($G$3)*C32+B32))</f>
        <v>1270.0655900788165</v>
      </c>
    </row>
    <row r="33" spans="1:4" x14ac:dyDescent="0.25">
      <c r="A33" t="s">
        <v>13</v>
      </c>
      <c r="B33">
        <v>8.6618738510800704</v>
      </c>
      <c r="C33">
        <v>-0.49587256547659397</v>
      </c>
      <c r="D33">
        <f>ABS($G$5-EXP(LN($G$3)*C33+B33))</f>
        <v>2593.8810198293527</v>
      </c>
    </row>
  </sheetData>
  <sortState ref="A2:D33">
    <sortCondition ref="D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Seigel, Courtney R</dc:creator>
  <cp:lastModifiedBy>Seigel, Courtney R</cp:lastModifiedBy>
  <dcterms:created xsi:type="dcterms:W3CDTF">2021-11-16T17:51:51Z</dcterms:created>
  <dcterms:modified xsi:type="dcterms:W3CDTF">2021-11-16T18:28:58Z</dcterms:modified>
</cp:coreProperties>
</file>